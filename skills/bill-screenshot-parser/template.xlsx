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明细" sheetId="1" state="visible" r:id="rId1"/>
    <sheet name="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FF000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164" fontId="3" fillId="4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0" customWidth="1" min="3" max="3"/>
    <col width="8" customWidth="1" min="4" max="4"/>
    <col width="25" customWidth="1" min="5" max="5"/>
    <col width="8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类型</t>
        </is>
      </c>
      <c r="C1" s="1" t="inlineStr">
        <is>
          <t>金额</t>
        </is>
      </c>
      <c r="D1" s="1" t="inlineStr">
        <is>
          <t>类别</t>
        </is>
      </c>
      <c r="E1" s="1" t="inlineStr">
        <is>
          <t>描述</t>
        </is>
      </c>
      <c r="F1" s="1" t="inlineStr">
        <is>
          <t>平台</t>
        </is>
      </c>
      <c r="G1" s="1" t="inlineStr">
        <is>
          <t>备注</t>
        </is>
      </c>
    </row>
  </sheetData>
  <dataValidations count="2">
    <dataValidation sqref="B2:B1000" showDropDown="0" showInputMessage="0" showErrorMessage="0" allowBlank="1" errorTitle="输入错误" error="请从下拉列表中选择" type="list">
      <formula1>"支出,收入"</formula1>
    </dataValidation>
    <dataValidation sqref="D2:D1000" showDropDown="0" showInputMessage="0" showErrorMessage="0" allowBlank="1" errorTitle="输入错误" error="请从下拉列表中选择" type="list">
      <formula1>"饮食,食材,住房,咖啡,通讯,服饰,交通,彩妆,社交,医疗,学习,娱乐,健身,日用,旅行,其他"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</cols>
  <sheetData>
    <row r="1">
      <c r="A1" s="2" t="inlineStr">
        <is>
          <t>账单汇总</t>
        </is>
      </c>
    </row>
    <row r="3">
      <c r="A3" s="3" t="inlineStr">
        <is>
          <t>类别</t>
        </is>
      </c>
      <c r="B3" s="3" t="inlineStr">
        <is>
          <t>支出金额</t>
        </is>
      </c>
    </row>
    <row r="4">
      <c r="A4" s="4" t="inlineStr">
        <is>
          <t>饮食</t>
        </is>
      </c>
      <c r="B4" s="5">
        <f>SUMIFS(明细!$C$2:$C$1000,明细!$B$2:$B$1000,"支出",明细!$D$2:$D$1000,A4)</f>
        <v/>
      </c>
    </row>
    <row r="5">
      <c r="A5" s="4" t="inlineStr">
        <is>
          <t>食材</t>
        </is>
      </c>
      <c r="B5" s="5">
        <f>SUMIFS(明细!$C$2:$C$1000,明细!$B$2:$B$1000,"支出",明细!$D$2:$D$1000,A5)</f>
        <v/>
      </c>
    </row>
    <row r="6">
      <c r="A6" s="4" t="inlineStr">
        <is>
          <t>住房</t>
        </is>
      </c>
      <c r="B6" s="5">
        <f>SUMIFS(明细!$C$2:$C$1000,明细!$B$2:$B$1000,"支出",明细!$D$2:$D$1000,A6)</f>
        <v/>
      </c>
    </row>
    <row r="7">
      <c r="A7" s="4" t="inlineStr">
        <is>
          <t>咖啡</t>
        </is>
      </c>
      <c r="B7" s="5">
        <f>SUMIFS(明细!$C$2:$C$1000,明细!$B$2:$B$1000,"支出",明细!$D$2:$D$1000,A7)</f>
        <v/>
      </c>
    </row>
    <row r="8">
      <c r="A8" s="4" t="inlineStr">
        <is>
          <t>通讯</t>
        </is>
      </c>
      <c r="B8" s="5">
        <f>SUMIFS(明细!$C$2:$C$1000,明细!$B$2:$B$1000,"支出",明细!$D$2:$D$1000,A8)</f>
        <v/>
      </c>
    </row>
    <row r="9">
      <c r="A9" s="4" t="inlineStr">
        <is>
          <t>服饰</t>
        </is>
      </c>
      <c r="B9" s="5">
        <f>SUMIFS(明细!$C$2:$C$1000,明细!$B$2:$B$1000,"支出",明细!$D$2:$D$1000,A9)</f>
        <v/>
      </c>
    </row>
    <row r="10">
      <c r="A10" s="4" t="inlineStr">
        <is>
          <t>交通</t>
        </is>
      </c>
      <c r="B10" s="5">
        <f>SUMIFS(明细!$C$2:$C$1000,明细!$B$2:$B$1000,"支出",明细!$D$2:$D$1000,A10)</f>
        <v/>
      </c>
    </row>
    <row r="11">
      <c r="A11" s="4" t="inlineStr">
        <is>
          <t>彩妆</t>
        </is>
      </c>
      <c r="B11" s="5">
        <f>SUMIFS(明细!$C$2:$C$1000,明细!$B$2:$B$1000,"支出",明细!$D$2:$D$1000,A11)</f>
        <v/>
      </c>
    </row>
    <row r="12">
      <c r="A12" s="4" t="inlineStr">
        <is>
          <t>社交</t>
        </is>
      </c>
      <c r="B12" s="5">
        <f>SUMIFS(明细!$C$2:$C$1000,明细!$B$2:$B$1000,"支出",明细!$D$2:$D$1000,A12)</f>
        <v/>
      </c>
    </row>
    <row r="13">
      <c r="A13" s="4" t="inlineStr">
        <is>
          <t>医疗</t>
        </is>
      </c>
      <c r="B13" s="5">
        <f>SUMIFS(明细!$C$2:$C$1000,明细!$B$2:$B$1000,"支出",明细!$D$2:$D$1000,A13)</f>
        <v/>
      </c>
    </row>
    <row r="14">
      <c r="A14" s="4" t="inlineStr">
        <is>
          <t>学习</t>
        </is>
      </c>
      <c r="B14" s="5">
        <f>SUMIFS(明细!$C$2:$C$1000,明细!$B$2:$B$1000,"支出",明细!$D$2:$D$1000,A14)</f>
        <v/>
      </c>
    </row>
    <row r="15">
      <c r="A15" s="4" t="inlineStr">
        <is>
          <t>娱乐</t>
        </is>
      </c>
      <c r="B15" s="5">
        <f>SUMIFS(明细!$C$2:$C$1000,明细!$B$2:$B$1000,"支出",明细!$D$2:$D$1000,A15)</f>
        <v/>
      </c>
    </row>
    <row r="16">
      <c r="A16" s="4" t="inlineStr">
        <is>
          <t>健身</t>
        </is>
      </c>
      <c r="B16" s="5">
        <f>SUMIFS(明细!$C$2:$C$1000,明细!$B$2:$B$1000,"支出",明细!$D$2:$D$1000,A16)</f>
        <v/>
      </c>
    </row>
    <row r="17">
      <c r="A17" s="4" t="inlineStr">
        <is>
          <t>日用</t>
        </is>
      </c>
      <c r="B17" s="5">
        <f>SUMIFS(明细!$C$2:$C$1000,明细!$B$2:$B$1000,"支出",明细!$D$2:$D$1000,A17)</f>
        <v/>
      </c>
    </row>
    <row r="18">
      <c r="A18" s="4" t="inlineStr">
        <is>
          <t>旅行</t>
        </is>
      </c>
      <c r="B18" s="5">
        <f>SUMIFS(明细!$C$2:$C$1000,明细!$B$2:$B$1000,"支出",明细!$D$2:$D$1000,A18)</f>
        <v/>
      </c>
    </row>
    <row r="19">
      <c r="A19" s="4" t="inlineStr">
        <is>
          <t>其他</t>
        </is>
      </c>
      <c r="B19" s="5">
        <f>SUMIFS(明细!$C$2:$C$1000,明细!$B$2:$B$1000,"支出",明细!$D$2:$D$1000,A19)</f>
        <v/>
      </c>
    </row>
    <row r="20">
      <c r="A20" s="6" t="inlineStr">
        <is>
          <t>支出合计</t>
        </is>
      </c>
      <c r="B20" s="7">
        <f>SUM(B4:B19)</f>
        <v/>
      </c>
    </row>
    <row r="22">
      <c r="A22" s="8" t="inlineStr">
        <is>
          <t>收入合计</t>
        </is>
      </c>
      <c r="B22" s="9">
        <f>SUMIF(明细!$B$2:$B$1000,"收入",明细!$C$2:$C$1000)</f>
        <v/>
      </c>
    </row>
    <row r="23">
      <c r="A23" s="10" t="inlineStr">
        <is>
          <t>净支出</t>
        </is>
      </c>
      <c r="B23" s="11">
        <f>B20-B22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2026-02-27T09:23:54Z</dcterms:created>
  <dcterms:modified xsi:type="dcterms:W3CDTF">2026-02-27T09:23:54Z</dcterms:modified>
</cp:coreProperties>
</file>