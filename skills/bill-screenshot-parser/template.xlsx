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 activeTab="1"/>
  </bookViews>
  <sheets>
    <sheet name="明细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<sst xmlns="http://schemas.openxmlformats.org/spreadsheetml/2006/main" count="29" uniqueCount="28">
  <si>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日期</t>
  </si>
  <si>
    <t>类型</t>
  </si>
  <si>
    <t>金额</t>
  </si>
  <si>
    <t>类别</t>
  </si>
  <si>
    <t>描述</t>
  </si>
  <si>
    <t>平台</t>
  </si>
  <si>
    <t>备注</t>
  </si>
  <si>
    <t>账单汇总</t>
  </si>
  <si>
    <t>支出金额</t>
  </si>
  <si>
    <t>饮食</t>
  </si>
  <si>
    <t>食材</t>
  </si>
  <si>
    <t>住房</t>
  </si>
  <si>
    <t>咖啡</t>
  </si>
  <si>
    <t>通讯</t>
  </si>
  <si>
    <t>服饰</t>
  </si>
  <si>
    <t>交通</t>
  </si>
  <si>
    <t>彩妆</t>
  </si>
  <si>
    <t>社交</t>
  </si>
  <si>
    <t>医疗</t>
  </si>
  <si>
    <t>学习</t>
  </si>
  <si>
    <t>娱乐</t>
  </si>
  <si>
    <t>健身</t>
  </si>
  <si>
    <t>日用</t>
  </si>
  <si>
    <t>旅行</t>
  </si>
  <si>
    <t>其他</t>
  </si>
  <si>
    <t>支出合计</t>
  </si>
  <si>
    <t>收入合计</t>
  </si>
  <si>
    <t>净支出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</si>
</sst>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2" fillId="2" borderId="1" xfId="0" applyFont="1" applyFill="1" applyBorder="1"/>
    <xf numFmtId="0" fontId="2" fillId="2" borderId="1" xfId="0" applyNumberFormat="1" applyFont="1" applyFill="1" applyBorder="1"/>
    <xf numFmtId="0" fontId="0" fillId="0" borderId="0" xfId="0" applyNumberFormat="1"/>
    <xf numFmtId="0" fontId="2" fillId="3" borderId="1" xfId="0" applyFont="1" applyFill="1" applyBorder="1"/>
    <xf numFmtId="0" fontId="2" fillId="3" borderId="1" xfId="0" applyNumberFormat="1" applyFont="1" applyFill="1" applyBorder="1"/>
    <xf numFmtId="0" fontId="3" fillId="4" borderId="1" xfId="0" applyFont="1" applyFill="1" applyBorder="1"/>
    <xf numFmtId="0" fontId="3" fillId="4" borderId="1" xfId="0" applyNumberFormat="1" applyFont="1" applyFill="1" applyBorder="1"/>
    <xf numFmtId="0" fontId="4" fillId="5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A29" sqref="A29"/>
    </sheetView>
  </sheetViews>
  <sheetFormatPr defaultColWidth="9" defaultRowHeight="16.8" outlineLevelCol="6"/>
  <cols>
    <col min="1" max="1" width="18" customWidth="1"/>
    <col min="2" max="2" width="8" customWidth="1"/>
    <col min="3" max="3" width="10" customWidth="1"/>
    <col min="4" max="4" width="8" customWidth="1"/>
    <col min="5" max="5" width="25" customWidth="1"/>
    <col min="6" max="6" width="8" customWidth="1"/>
    <col min="7" max="7" width="10" customWidth="1"/>
  </cols>
  <sheetData>
    <row r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</sheetData>
  <dataValidations count="2">
    <dataValidation type="list" allowBlank="1" errorTitle="输入错误" error="请从下拉列表中选择" sqref="B2:B1000">
      <formula1>"支出,收入"</formula1>
    </dataValidation>
    <dataValidation type="list" allowBlank="1" errorTitle="输入错误" error="请从下拉列表中选择" sqref="D2:D1000">
      <formula1>"饮食,食材,住房,咖啡,通讯,服饰,交通,彩妆,社交,医疗,学习,娱乐,健身,日用,旅行,其他"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O25" sqref="O25"/>
    </sheetView>
  </sheetViews>
  <sheetFormatPr defaultColWidth="9" defaultRowHeight="16.8" outlineLevelCol="1"/>
  <cols>
    <col min="1" max="1" width="12" customWidth="1"/>
    <col min="2" max="2" width="15" customWidth="1"/>
  </cols>
  <sheetData>
    <row r="1" ht="20.4" spans="1:1">
      <c r="A1" s="1" t="s">
        <v>7</v>
      </c>
    </row>
    <row r="3" spans="1:2">
      <c r="A3" s="2" t="s">
        <v>3</v>
      </c>
      <c r="B3" s="2" t="s">
        <v>8</v>
      </c>
    </row>
    <row r="4" spans="1:2">
      <c r="A4" s="3" t="s">
        <v>9</v>
      </c>
      <c r="B4" s="4">
        <f>SUMIFS(明细!$C$2:$C$1000,明细!$B$2:$B$1000,"支出",明细!$D$2:$D$1000,A4)</f>
        <v>0</v>
      </c>
    </row>
    <row r="5" spans="1:2">
      <c r="A5" s="3" t="s">
        <v>10</v>
      </c>
      <c r="B5" s="4">
        <f>SUMIFS(明细!$C$2:$C$1000,明细!$B$2:$B$1000,"支出",明细!$D$2:$D$1000,A5)</f>
        <v>0</v>
      </c>
    </row>
    <row r="6" spans="1:2">
      <c r="A6" s="3" t="s">
        <v>11</v>
      </c>
      <c r="B6" s="4">
        <f>SUMIFS(明细!$C$2:$C$1000,明细!$B$2:$B$1000,"支出",明细!$D$2:$D$1000,A6)</f>
        <v>0</v>
      </c>
    </row>
    <row r="7" spans="1:2">
      <c r="A7" s="3" t="s">
        <v>12</v>
      </c>
      <c r="B7" s="4">
        <f>SUMIFS(明细!$C$2:$C$1000,明细!$B$2:$B$1000,"支出",明细!$D$2:$D$1000,A7)</f>
        <v>0</v>
      </c>
    </row>
    <row r="8" spans="1:2">
      <c r="A8" s="3" t="s">
        <v>13</v>
      </c>
      <c r="B8" s="4">
        <f>SUMIFS(明细!$C$2:$C$1000,明细!$B$2:$B$1000,"支出",明细!$D$2:$D$1000,A8)</f>
        <v>0</v>
      </c>
    </row>
    <row r="9" spans="1:2">
      <c r="A9" s="3" t="s">
        <v>14</v>
      </c>
      <c r="B9" s="4">
        <f>SUMIFS(明细!$C$2:$C$1000,明细!$B$2:$B$1000,"支出",明细!$D$2:$D$1000,A9)</f>
        <v>0</v>
      </c>
    </row>
    <row r="10" spans="1:2">
      <c r="A10" s="3" t="s">
        <v>15</v>
      </c>
      <c r="B10" s="4">
        <f>SUMIFS(明细!$C$2:$C$1000,明细!$B$2:$B$1000,"支出",明细!$D$2:$D$1000,A10)</f>
        <v>0</v>
      </c>
    </row>
    <row r="11" spans="1:2">
      <c r="A11" s="3" t="s">
        <v>16</v>
      </c>
      <c r="B11" s="4">
        <f>SUMIFS(明细!$C$2:$C$1000,明细!$B$2:$B$1000,"支出",明细!$D$2:$D$1000,A11)</f>
        <v>0</v>
      </c>
    </row>
    <row r="12" spans="1:2">
      <c r="A12" s="3" t="s">
        <v>17</v>
      </c>
      <c r="B12" s="4">
        <f>SUMIFS(明细!$C$2:$C$1000,明细!$B$2:$B$1000,"支出",明细!$D$2:$D$1000,A12)</f>
        <v>0</v>
      </c>
    </row>
    <row r="13" spans="1:2">
      <c r="A13" s="3" t="s">
        <v>18</v>
      </c>
      <c r="B13" s="4">
        <f>SUMIFS(明细!$C$2:$C$1000,明细!$B$2:$B$1000,"支出",明细!$D$2:$D$1000,A13)</f>
        <v>0</v>
      </c>
    </row>
    <row r="14" spans="1:2">
      <c r="A14" s="3" t="s">
        <v>19</v>
      </c>
      <c r="B14" s="4">
        <f>SUMIFS(明细!$C$2:$C$1000,明细!$B$2:$B$1000,"支出",明细!$D$2:$D$1000,A14)</f>
        <v>0</v>
      </c>
    </row>
    <row r="15" spans="1:2">
      <c r="A15" s="3" t="s">
        <v>20</v>
      </c>
      <c r="B15" s="4">
        <f>SUMIFS(明细!$C$2:$C$1000,明细!$B$2:$B$1000,"支出",明细!$D$2:$D$1000,A15)</f>
        <v>0</v>
      </c>
    </row>
    <row r="16" spans="1:2">
      <c r="A16" s="3" t="s">
        <v>21</v>
      </c>
      <c r="B16" s="4">
        <f>SUMIFS(明细!$C$2:$C$1000,明细!$B$2:$B$1000,"支出",明细!$D$2:$D$1000,A16)</f>
        <v>0</v>
      </c>
    </row>
    <row r="17" spans="1:2">
      <c r="A17" s="3" t="s">
        <v>22</v>
      </c>
      <c r="B17" s="4">
        <f>SUMIFS(明细!$C$2:$C$1000,明细!$B$2:$B$1000,"支出",明细!$D$2:$D$1000,A17)</f>
        <v>0</v>
      </c>
    </row>
    <row r="18" spans="1:2">
      <c r="A18" s="3" t="s">
        <v>23</v>
      </c>
      <c r="B18" s="4">
        <f>SUMIFS(明细!$C$2:$C$1000,明细!$B$2:$B$1000,"支出",明细!$D$2:$D$1000,A18)</f>
        <v>0</v>
      </c>
    </row>
    <row r="19" spans="1:2">
      <c r="A19" s="3" t="s">
        <v>24</v>
      </c>
      <c r="B19" s="4">
        <f>SUMIFS(明细!$C$2:$C$1000,明细!$B$2:$B$1000,"支出",明细!$D$2:$D$1000,A19)</f>
        <v>0</v>
      </c>
    </row>
    <row r="20" spans="1:2">
      <c r="A20" s="5" t="s">
        <v>25</v>
      </c>
      <c r="B20" s="6">
        <f>SUM(B4:B19)</f>
        <v>0</v>
      </c>
    </row>
    <row r="21" spans="2:2">
      <c r="B21" s="7"/>
    </row>
    <row r="22" spans="1:2">
      <c r="A22" s="8" t="s">
        <v>26</v>
      </c>
      <c r="B22" s="9">
        <f>SUMIF(明细!$B$2:$B$1000,"收入",明细!$C$2:$C$1000)</f>
        <v>0</v>
      </c>
    </row>
    <row r="23" spans="1:2">
      <c r="A23" s="10" t="s">
        <v>27</v>
      </c>
      <c r="B23" s="11">
        <f>B20-B22</f>
        <v>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步履不停</cp:lastModifiedBy>
  <dcterms:created xsi:type="dcterms:W3CDTF">2026-02-27T17:23:00Z</dcterms:created>
  <dcterms:modified xsi:type="dcterms:W3CDTF">2026-07-03T17:29:32Z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D9E276340AE0C2FFFC80476A5788FB7D_42</vt:lpwstr>
  </property>
  <property fmtid="{D5CDD505-2E9C-101B-9397-08002B2CF9AE}" pid="3" name="KSOProductBuildVer">
    <vt:lpwstr>2052-7.4.1.8983</vt:lpwstr>
  </property>
</Properties>
</file>